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5" fillId="2" borderId="0" pivotButton="0" quotePrefix="0" xfId="0"/>
    <xf numFmtId="0" fontId="2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6" customWidth="1" min="5" max="5"/>
    <col width="14" customWidth="1" min="6" max="6"/>
    <col width="18" customWidth="1" min="7" max="7"/>
  </cols>
  <sheetData>
    <row r="1" ht="30" customHeight="1">
      <c r="A1" s="1" t="inlineStr">
        <is>
          <t>ticket_id</t>
        </is>
      </c>
      <c r="B1" s="1" t="inlineStr">
        <is>
          <t>created_at</t>
        </is>
      </c>
      <c r="C1" s="1" t="inlineStr">
        <is>
          <t>closed_at</t>
        </is>
      </c>
      <c r="D1" s="1" t="inlineStr">
        <is>
          <t>outlet_id</t>
        </is>
      </c>
      <c r="E1" s="1" t="inlineStr">
        <is>
          <t>cms_id</t>
        </is>
      </c>
      <c r="F1" s="2" t="inlineStr">
        <is>
          <t>Same_Day?</t>
        </is>
      </c>
      <c r="G1" s="2" t="inlineStr">
        <is>
          <t>Same_Hour?</t>
        </is>
      </c>
    </row>
    <row r="2">
      <c r="A2" s="3" t="inlineStr">
        <is>
          <t>isu-sjd-457</t>
        </is>
      </c>
      <c r="B2" s="3" t="inlineStr">
        <is>
          <t>2021-08-19 16:45:43</t>
        </is>
      </c>
      <c r="C2" s="3" t="inlineStr">
        <is>
          <t>2021-08-22 12:33:32</t>
        </is>
      </c>
      <c r="D2" s="3" t="inlineStr">
        <is>
          <t>wrqy-juv-978</t>
        </is>
      </c>
      <c r="E2" s="3" t="inlineStr">
        <is>
          <t>vew-iuvd-12</t>
        </is>
      </c>
      <c r="F2" s="4">
        <f>INT(B2)=INT(C2)</f>
        <v/>
      </c>
      <c r="G2" s="4">
        <f>AND(INT(B2)=INT(C2),HOUR(B2)=HOUR(C2))</f>
        <v/>
      </c>
    </row>
    <row r="3">
      <c r="A3" s="3" t="inlineStr">
        <is>
          <t>qer-fal-092</t>
        </is>
      </c>
      <c r="B3" s="3" t="inlineStr">
        <is>
          <t>2021-08-21 11:09:22</t>
        </is>
      </c>
      <c r="C3" s="3" t="inlineStr">
        <is>
          <t>2021-08-21 17:13:45</t>
        </is>
      </c>
      <c r="D3" s="3" t="inlineStr">
        <is>
          <t>8woh-k3u-23b</t>
        </is>
      </c>
      <c r="E3" s="3" t="inlineStr">
        <is>
          <t>cms-abc-001</t>
        </is>
      </c>
      <c r="F3" s="4">
        <f>INT(B3)=INT(C3)</f>
        <v/>
      </c>
      <c r="G3" s="4">
        <f>AND(INT(B3)=INT(C3),HOUR(B3)=HOUR(C3))</f>
        <v/>
      </c>
    </row>
    <row r="4">
      <c r="A4" s="3" t="inlineStr">
        <is>
          <t>tkt-mno-301</t>
        </is>
      </c>
      <c r="B4" s="3" t="inlineStr">
        <is>
          <t>2021-08-21 09:15:00</t>
        </is>
      </c>
      <c r="C4" s="3" t="inlineStr">
        <is>
          <t>2021-08-21 09:58:22</t>
        </is>
      </c>
      <c r="D4" s="3" t="inlineStr">
        <is>
          <t>wrqy-juv-978</t>
        </is>
      </c>
      <c r="E4" s="3" t="inlineStr">
        <is>
          <t>cms-def-002</t>
        </is>
      </c>
      <c r="F4" s="4">
        <f>INT(B4)=INT(C4)</f>
        <v/>
      </c>
      <c r="G4" s="4">
        <f>AND(INT(B4)=INT(C4),HOUR(B4)=HOUR(C4))</f>
        <v/>
      </c>
    </row>
    <row r="5">
      <c r="A5" s="3" t="inlineStr">
        <is>
          <t>tkt-pqr-402</t>
        </is>
      </c>
      <c r="B5" s="3" t="inlineStr">
        <is>
          <t>2021-08-22 14:30:00</t>
        </is>
      </c>
      <c r="C5" s="3" t="inlineStr">
        <is>
          <t>2021-08-22 14:55:10</t>
        </is>
      </c>
      <c r="D5" s="3" t="inlineStr">
        <is>
          <t>8woh-k3u-23b</t>
        </is>
      </c>
      <c r="E5" s="3" t="inlineStr">
        <is>
          <t>cms-ghi-003</t>
        </is>
      </c>
      <c r="F5" s="4">
        <f>INT(B5)=INT(C5)</f>
        <v/>
      </c>
      <c r="G5" s="4">
        <f>AND(INT(B5)=INT(C5),HOUR(B5)=HOUR(C5))</f>
        <v/>
      </c>
    </row>
    <row r="6">
      <c r="A6" s="3" t="inlineStr">
        <is>
          <t>tkt-stu-503</t>
        </is>
      </c>
      <c r="B6" s="3" t="inlineStr">
        <is>
          <t>2021-08-23 10:00:00</t>
        </is>
      </c>
      <c r="C6" s="3" t="inlineStr">
        <is>
          <t>2021-08-24 10:00:00</t>
        </is>
      </c>
      <c r="D6" s="3" t="inlineStr">
        <is>
          <t>wrqy-juv-978</t>
        </is>
      </c>
      <c r="E6" s="3" t="inlineStr">
        <is>
          <t>cms-jkl-004</t>
        </is>
      </c>
      <c r="F6" s="4">
        <f>INT(B6)=INT(C6)</f>
        <v/>
      </c>
      <c r="G6" s="4">
        <f>AND(INT(B6)=INT(C6),HOUR(B6)=HOUR(C6))</f>
        <v/>
      </c>
    </row>
    <row r="7">
      <c r="A7" s="3" t="inlineStr">
        <is>
          <t>tkt-vwx-604</t>
        </is>
      </c>
      <c r="B7" s="3" t="inlineStr">
        <is>
          <t>2021-08-23 11:30:00</t>
        </is>
      </c>
      <c r="C7" s="3" t="inlineStr">
        <is>
          <t>2021-08-23 11:55:00</t>
        </is>
      </c>
      <c r="D7" s="3" t="inlineStr">
        <is>
          <t>8woh-k3u-23b</t>
        </is>
      </c>
      <c r="E7" s="3" t="inlineStr">
        <is>
          <t>cms-mno-005</t>
        </is>
      </c>
      <c r="F7" s="4">
        <f>INT(B7)=INT(C7)</f>
        <v/>
      </c>
      <c r="G7" s="4">
        <f>AND(INT(B7)=INT(C7),HOUR(B7)=HOUR(C7))</f>
        <v/>
      </c>
    </row>
    <row r="8">
      <c r="A8" s="3" t="inlineStr">
        <is>
          <t>tkt-yza-705</t>
        </is>
      </c>
      <c r="B8" s="3" t="inlineStr">
        <is>
          <t>2021-08-24 08:00:00</t>
        </is>
      </c>
      <c r="C8" s="3" t="inlineStr">
        <is>
          <t>2021-08-24 08:45:00</t>
        </is>
      </c>
      <c r="D8" s="3" t="inlineStr">
        <is>
          <t>wrqy-juv-978</t>
        </is>
      </c>
      <c r="E8" s="3" t="inlineStr">
        <is>
          <t>cms-pqr-006</t>
        </is>
      </c>
      <c r="F8" s="4">
        <f>INT(B8)=INT(C8)</f>
        <v/>
      </c>
      <c r="G8" s="4">
        <f>AND(INT(B8)=INT(C8),HOUR(B8)=HOUR(C8))</f>
        <v/>
      </c>
    </row>
    <row r="9">
      <c r="A9" s="3" t="inlineStr">
        <is>
          <t>tkt-bcd-806</t>
        </is>
      </c>
      <c r="B9" s="3" t="inlineStr">
        <is>
          <t>2021-08-24 15:00:00</t>
        </is>
      </c>
      <c r="C9" s="3" t="inlineStr">
        <is>
          <t>2021-08-25 15:00:00</t>
        </is>
      </c>
      <c r="D9" s="3" t="inlineStr">
        <is>
          <t>8woh-k3u-23b</t>
        </is>
      </c>
      <c r="E9" s="3" t="inlineStr">
        <is>
          <t>cms-stu-007</t>
        </is>
      </c>
      <c r="F9" s="4">
        <f>INT(B9)=INT(C9)</f>
        <v/>
      </c>
      <c r="G9" s="4">
        <f>AND(INT(B9)=INT(C9),HOUR(B9)=HOUR(C9))</f>
        <v/>
      </c>
    </row>
    <row r="10">
      <c r="A10" s="3" t="inlineStr">
        <is>
          <t>tkt-efg-907</t>
        </is>
      </c>
      <c r="B10" s="3" t="inlineStr">
        <is>
          <t>2021-08-25 09:00:00</t>
        </is>
      </c>
      <c r="C10" s="3" t="inlineStr">
        <is>
          <t>2021-08-25 09:30:00</t>
        </is>
      </c>
      <c r="D10" s="3" t="inlineStr">
        <is>
          <t>wrqy-juv-978</t>
        </is>
      </c>
      <c r="E10" s="3" t="inlineStr">
        <is>
          <t>cms-vwx-008</t>
        </is>
      </c>
      <c r="F10" s="4">
        <f>INT(B10)=INT(C10)</f>
        <v/>
      </c>
      <c r="G10" s="4">
        <f>AND(INT(B10)=INT(C10),HOUR(B10)=HOUR(C10))</f>
        <v/>
      </c>
    </row>
    <row r="11">
      <c r="A11" s="3" t="inlineStr">
        <is>
          <t>tkt-hij-008</t>
        </is>
      </c>
      <c r="B11" s="3" t="inlineStr">
        <is>
          <t>2021-08-25 16:00:00</t>
        </is>
      </c>
      <c r="C11" s="3" t="inlineStr">
        <is>
          <t>2021-08-25 16:45:00</t>
        </is>
      </c>
      <c r="D11" s="3" t="inlineStr">
        <is>
          <t>8woh-k3u-23b</t>
        </is>
      </c>
      <c r="E11" s="3" t="inlineStr">
        <is>
          <t>cms-yza-009</t>
        </is>
      </c>
      <c r="F11" s="4">
        <f>INT(B11)=INT(C11)</f>
        <v/>
      </c>
      <c r="G11" s="4">
        <f>AND(INT(B11)=INT(C11),HOUR(B11)=HOUR(C11))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22" customWidth="1" min="4" max="4"/>
  </cols>
  <sheetData>
    <row r="1" ht="30" customHeight="1">
      <c r="A1" s="1" t="inlineStr">
        <is>
          <t>cms_id</t>
        </is>
      </c>
      <c r="B1" s="1" t="inlineStr">
        <is>
          <t>feedback_at</t>
        </is>
      </c>
      <c r="C1" s="1" t="inlineStr">
        <is>
          <t>feedback_rating</t>
        </is>
      </c>
      <c r="D1" s="5" t="inlineStr">
        <is>
          <t>ticket_created_at</t>
        </is>
      </c>
    </row>
    <row r="2">
      <c r="A2" s="3" t="inlineStr">
        <is>
          <t>vew-iuvd-12</t>
        </is>
      </c>
      <c r="B2" s="3" t="inlineStr">
        <is>
          <t>2021-08-21 13:26:48</t>
        </is>
      </c>
      <c r="C2" s="3" t="n">
        <v>3</v>
      </c>
      <c r="D2" s="6">
        <f>IFERROR(VLOOKUP(A2,ticket!$E:$B,2,FALSE),"Not Found")</f>
        <v/>
      </c>
    </row>
    <row r="3">
      <c r="A3" s="3" t="inlineStr">
        <is>
          <t>cms-abc-001</t>
        </is>
      </c>
      <c r="B3" s="3" t="inlineStr">
        <is>
          <t>2021-08-22 09:00:00</t>
        </is>
      </c>
      <c r="C3" s="3" t="n">
        <v>5</v>
      </c>
      <c r="D3" s="6">
        <f>IFERROR(VLOOKUP(A3,ticket!$E:$B,2,FALSE),"Not Found")</f>
        <v/>
      </c>
    </row>
    <row r="4">
      <c r="A4" s="3" t="inlineStr">
        <is>
          <t>cms-def-002</t>
        </is>
      </c>
      <c r="B4" s="3" t="inlineStr">
        <is>
          <t>2021-08-21 10:30:00</t>
        </is>
      </c>
      <c r="C4" s="3" t="n">
        <v>4</v>
      </c>
      <c r="D4" s="6">
        <f>IFERROR(VLOOKUP(A4,ticket!$E:$B,2,FALSE),"Not Found")</f>
        <v/>
      </c>
    </row>
    <row r="5">
      <c r="A5" s="3" t="inlineStr">
        <is>
          <t>cms-ghi-003</t>
        </is>
      </c>
      <c r="B5" s="3" t="inlineStr">
        <is>
          <t>2021-08-22 16:00:00</t>
        </is>
      </c>
      <c r="C5" s="3" t="n">
        <v>2</v>
      </c>
      <c r="D5" s="6">
        <f>IFERROR(VLOOKUP(A5,ticket!$E:$B,2,FALSE),"Not Found")</f>
        <v/>
      </c>
    </row>
    <row r="6">
      <c r="A6" s="3" t="inlineStr">
        <is>
          <t>cms-jkl-004</t>
        </is>
      </c>
      <c r="B6" s="3" t="inlineStr">
        <is>
          <t>2021-08-24 11:00:00</t>
        </is>
      </c>
      <c r="C6" s="3" t="n">
        <v>5</v>
      </c>
      <c r="D6" s="6">
        <f>IFERROR(VLOOKUP(A6,ticket!$E:$B,2,FALSE),"Not Found")</f>
        <v/>
      </c>
    </row>
    <row r="7">
      <c r="A7" s="3" t="inlineStr">
        <is>
          <t>cms-mno-005</t>
        </is>
      </c>
      <c r="B7" s="3" t="inlineStr">
        <is>
          <t>2021-08-23 13:00:00</t>
        </is>
      </c>
      <c r="C7" s="3" t="n">
        <v>3</v>
      </c>
      <c r="D7" s="6">
        <f>IFERROR(VLOOKUP(A7,ticket!$E:$B,2,FALSE),"Not Found")</f>
        <v/>
      </c>
    </row>
    <row r="8">
      <c r="A8" s="3" t="inlineStr">
        <is>
          <t>cms-pqr-006</t>
        </is>
      </c>
      <c r="B8" s="3" t="inlineStr">
        <is>
          <t>2021-08-24 09:30:00</t>
        </is>
      </c>
      <c r="C8" s="3" t="n">
        <v>4</v>
      </c>
      <c r="D8" s="6">
        <f>IFERROR(VLOOKUP(A8,ticket!$E:$B,2,FALSE),"Not Found")</f>
        <v/>
      </c>
    </row>
    <row r="9">
      <c r="A9" s="3" t="inlineStr">
        <is>
          <t>cms-stu-007</t>
        </is>
      </c>
      <c r="B9" s="3" t="inlineStr">
        <is>
          <t>2021-08-25 16:00:00</t>
        </is>
      </c>
      <c r="C9" s="3" t="n">
        <v>1</v>
      </c>
      <c r="D9" s="6">
        <f>IFERROR(VLOOKUP(A9,ticket!$E:$B,2,FALSE),"Not Found")</f>
        <v/>
      </c>
    </row>
    <row r="10">
      <c r="A10" s="3" t="inlineStr">
        <is>
          <t>cms-vwx-008</t>
        </is>
      </c>
      <c r="B10" s="3" t="inlineStr">
        <is>
          <t>2021-08-25 10:00:00</t>
        </is>
      </c>
      <c r="C10" s="3" t="n">
        <v>5</v>
      </c>
      <c r="D10" s="6">
        <f>IFERROR(VLOOKUP(A10,ticket!$E:$B,2,FALSE),"Not Found")</f>
        <v/>
      </c>
    </row>
    <row r="11">
      <c r="A11" s="3" t="inlineStr">
        <is>
          <t>cms-yza-009</t>
        </is>
      </c>
      <c r="B11" s="3" t="inlineStr">
        <is>
          <t>2021-08-25 17:30:00</t>
        </is>
      </c>
      <c r="C11" s="3" t="n">
        <v>4</v>
      </c>
      <c r="D11" s="6">
        <f>IFERROR(VLOOKUP(A11,ticket!$E:$B,2,FALSE),"Not Found")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 ht="30" customHeight="1">
      <c r="A1" s="7" t="inlineStr">
        <is>
          <t>Q2a: Tickets created &amp; closed same day</t>
        </is>
      </c>
    </row>
    <row r="2">
      <c r="A2" s="1" t="inlineStr">
        <is>
          <t>outlet_id</t>
        </is>
      </c>
      <c r="B2" s="1" t="inlineStr">
        <is>
          <t>same_day_count</t>
        </is>
      </c>
      <c r="C2" s="1" t="inlineStr">
        <is>
          <t>same_hour_count</t>
        </is>
      </c>
    </row>
    <row r="3">
      <c r="A3" s="8" t="inlineStr">
        <is>
          <t>wrqy-juv-978</t>
        </is>
      </c>
      <c r="B3" s="6">
        <f>COUNTIFS(ticket!$D:$D,A3,ticket!$F:$F,TRUE)</f>
        <v/>
      </c>
      <c r="C3" s="6">
        <f>COUNTIFS(ticket!$D:$D,A3,ticket!$G:$G,TRUE)</f>
        <v/>
      </c>
    </row>
    <row r="4">
      <c r="A4" s="8" t="inlineStr">
        <is>
          <t>8woh-k3u-23b</t>
        </is>
      </c>
      <c r="B4" s="6">
        <f>COUNTIFS(ticket!$D:$D,A4,ticket!$F:$F,TRUE)</f>
        <v/>
      </c>
      <c r="C4" s="6">
        <f>COUNTIFS(ticket!$D:$D,A4,ticket!$G:$G,TRUE)</f>
        <v/>
      </c>
    </row>
    <row r="6">
      <c r="A6" s="9" t="inlineStr">
        <is>
          <t>Legend:</t>
        </is>
      </c>
    </row>
    <row r="7">
      <c r="A7" s="10" t="inlineStr">
        <is>
          <t>Yellow cells = VLOOKUP / COUNTIFS formula results</t>
        </is>
      </c>
    </row>
    <row r="8">
      <c r="A8" s="10" t="inlineStr">
        <is>
          <t>Green cells  = Helper columns (Same Day? / Same Hour?)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2026-04-08T18:36:44Z</dcterms:created>
  <dcterms:modified xmlns:dcterms="http://purl.org/dc/terms/" xmlns:xsi="http://www.w3.org/2001/XMLSchema-instance" xsi:type="dcterms:W3CDTF">2026-04-08T18:36:44Z</dcterms:modified>
</cp:coreProperties>
</file>