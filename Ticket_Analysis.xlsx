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32a5a5c8c84a87b/Documents/"/>
    </mc:Choice>
  </mc:AlternateContent>
  <xr:revisionPtr revIDLastSave="89" documentId="8_{0B15B9F9-A487-4D6E-A605-37BB755BA77A}" xr6:coauthVersionLast="47" xr6:coauthVersionMax="47" xr10:uidLastSave="{60707955-1102-452B-9D76-70E4A4616896}"/>
  <bookViews>
    <workbookView xWindow="-110" yWindow="-110" windowWidth="19420" windowHeight="10300" xr2:uid="{45E96F02-A5A2-4FD5-9B2A-6F086147C575}"/>
  </bookViews>
  <sheets>
    <sheet name="ticket" sheetId="1" r:id="rId1"/>
    <sheet name="feedbacks" sheetId="2" r:id="rId2"/>
    <sheet name="analysi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 a="1"/>
  <c r="C3" i="4" s="1"/>
  <c r="B3" i="4" a="1"/>
  <c r="B3" i="4" s="1"/>
  <c r="D3" i="2"/>
  <c r="D4" i="2"/>
  <c r="D5" i="2"/>
  <c r="D6" i="2"/>
  <c r="D7" i="2"/>
  <c r="D8" i="2"/>
  <c r="D9" i="2"/>
  <c r="D10" i="2"/>
  <c r="D11" i="2"/>
  <c r="G3" i="1"/>
  <c r="G4" i="1"/>
  <c r="G5" i="1"/>
  <c r="G6" i="1"/>
  <c r="G7" i="1"/>
  <c r="G8" i="1"/>
  <c r="G9" i="1"/>
  <c r="G10" i="1"/>
  <c r="G11" i="1"/>
  <c r="F3" i="1"/>
  <c r="F4" i="1"/>
  <c r="F5" i="1"/>
  <c r="F6" i="1"/>
  <c r="F7" i="1"/>
  <c r="F8" i="1"/>
  <c r="F9" i="1"/>
  <c r="F10" i="1"/>
  <c r="F11" i="1"/>
  <c r="B2" i="4" a="1"/>
  <c r="B2" i="4" s="1"/>
  <c r="C2" i="4" a="1"/>
  <c r="C2" i="4" s="1"/>
  <c r="D2" i="2"/>
  <c r="G2" i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<sst xmlns="http://schemas.openxmlformats.org/spreadsheetml/2006/main" count="66" uniqueCount="44">
  <si>
    <t>ticket_id</t>
  </si>
  <si>
    <t>created_at</t>
  </si>
  <si>
    <t>closed_at</t>
  </si>
  <si>
    <t>outlet_id</t>
  </si>
  <si>
    <t>cms_id</t>
  </si>
  <si>
    <t>Same_Day?</t>
  </si>
  <si>
    <t>Same_Hour?</t>
  </si>
  <si>
    <t>isu-sjd-457</t>
  </si>
  <si>
    <t>wrqy-juv-978</t>
  </si>
  <si>
    <t>vew-iuvd-12</t>
  </si>
  <si>
    <t>qer-fal-092</t>
  </si>
  <si>
    <t>8woh-k3u-23b</t>
  </si>
  <si>
    <t>cms-abc-001</t>
  </si>
  <si>
    <t>tkt-mno-301</t>
  </si>
  <si>
    <t>cms-def-002</t>
  </si>
  <si>
    <t>tkt-pqr-402</t>
  </si>
  <si>
    <t>cms-ghi-003</t>
  </si>
  <si>
    <t>tkt-stu-503</t>
  </si>
  <si>
    <t>cms-jkl-004</t>
  </si>
  <si>
    <t>tkt-vwx-604</t>
  </si>
  <si>
    <t>cms-mno-005</t>
  </si>
  <si>
    <t>tkt-yza-705</t>
  </si>
  <si>
    <t>cms-pqr-006</t>
  </si>
  <si>
    <t>tkt-bcd-806</t>
  </si>
  <si>
    <t>cms-stu-007</t>
  </si>
  <si>
    <t>tkt-efg-907</t>
  </si>
  <si>
    <t>cms-vwx-008</t>
  </si>
  <si>
    <t>tkt-hij-008</t>
  </si>
  <si>
    <t>cms-yza-009</t>
  </si>
  <si>
    <t>feedback_at</t>
  </si>
  <si>
    <t>feedback_rating</t>
  </si>
  <si>
    <t>ticket_created_at</t>
  </si>
  <si>
    <t>2021-08-21 13:26:48</t>
  </si>
  <si>
    <t>2021-08-22 09:00:00</t>
  </si>
  <si>
    <t>2021-08-21 10:30:00</t>
  </si>
  <si>
    <t>2021-08-22 16:00:00</t>
  </si>
  <si>
    <t>2021-08-24 11:00:00</t>
  </si>
  <si>
    <t>2021-08-23 13:00:00</t>
  </si>
  <si>
    <t>2021-08-24 09:30:00</t>
  </si>
  <si>
    <t>2021-08-25 16:00:00</t>
  </si>
  <si>
    <t>2021-08-25 10:00:00</t>
  </si>
  <si>
    <t>2021-08-25 17:30:00</t>
  </si>
  <si>
    <t>same_day_count</t>
  </si>
  <si>
    <t>same_hour_count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</si>
</sst>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yyyy/mm/dd\ hh:mm:ss"/>
  </numFmts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b/>
      <sz val="11"/>
      <color rgb="FF375623"/>
      <name val="Arial"/>
    </font>
    <font>
      <sz val="10"/>
      <name val="Arial"/>
    </font>
    <font>
      <b/>
      <sz val="11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BF8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horizontal="left" vertical="center"/>
    </xf>
    <xf numFmtId="168" fontId="1" fillId="4" borderId="1" xfId="0" applyNumberFormat="1" applyFont="1" applyFill="1" applyBorder="1" applyAlignment="1">
      <alignment horizontal="center" vertical="center" wrapText="1"/>
    </xf>
    <xf numFmtId="168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left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2E00F-D6F8-4424-B436-B3EF2A968DA2}">
  <dimension ref="A1:G11"/>
  <sheetViews>
    <sheetView tabSelected="1" workbookViewId="0">
      <selection activeCell="J8" sqref="J8"/>
    </sheetView>
  </sheetViews>
  <sheetFormatPr defaultRowHeight="14.5" x14ac:dyDescent="0.35"/>
  <cols>
    <col min="1" max="1" width="17.08984375" customWidth="1"/>
    <col min="2" max="2" width="17.6328125" customWidth="1"/>
    <col min="3" max="4" width="17.26953125" customWidth="1"/>
    <col min="5" max="5" width="17.7265625" customWidth="1"/>
    <col min="6" max="6" width="17.1796875" customWidth="1"/>
    <col min="7" max="7" width="17.453125" customWidth="1"/>
  </cols>
  <sheetData>
    <row r="1" spans="1:7" ht="28.5" customHeight="1" x14ac:dyDescent="0.35">
      <c r="A1" s="1" t="s">
        <v>0</v>
      </c>
      <c r="B1" s="1" t="s">
        <v>1</v>
      </c>
      <c r="C1" s="1" t="s">
        <v>2</v>
      </c>
      <c r="D1" s="11" t="s">
        <v>3</v>
      </c>
      <c r="E1" s="1" t="s">
        <v>4</v>
      </c>
      <c r="F1" s="2" t="s">
        <v>5</v>
      </c>
      <c r="G1" s="2" t="s">
        <v>6</v>
      </c>
    </row>
    <row r="2" spans="1:7" x14ac:dyDescent="0.35">
      <c r="A2" s="3" t="s">
        <v>7</v>
      </c>
      <c r="B2" s="4">
        <v>44427.698414351849</v>
      </c>
      <c r="C2" s="4">
        <v>44430.523287037038</v>
      </c>
      <c r="D2" s="12" t="s">
        <v>8</v>
      </c>
      <c r="E2" s="3" t="s">
        <v>9</v>
      </c>
      <c r="F2" t="b">
        <f>INT(B2) = INT(C2)</f>
        <v>0</v>
      </c>
      <c r="G2" t="b">
        <f xml:space="preserve"> AND(INT(B2) = INT(C2), HOUR(B2) = HOUR(C2))</f>
        <v>0</v>
      </c>
    </row>
    <row r="3" spans="1:7" x14ac:dyDescent="0.35">
      <c r="A3" s="3" t="s">
        <v>10</v>
      </c>
      <c r="B3" s="4">
        <v>44429.464837962965</v>
      </c>
      <c r="C3" s="4">
        <v>44429.717881944445</v>
      </c>
      <c r="D3" s="12" t="s">
        <v>11</v>
      </c>
      <c r="E3" s="3" t="s">
        <v>12</v>
      </c>
      <c r="F3" t="b">
        <f t="shared" ref="F3:F11" si="0">INT(B3) = INT(C3)</f>
        <v>1</v>
      </c>
      <c r="G3" t="b">
        <f t="shared" ref="G3:G11" si="1" xml:space="preserve"> AND(INT(B3) = INT(C3), HOUR(B3) = HOUR(C3))</f>
        <v>0</v>
      </c>
    </row>
    <row r="4" spans="1:7" x14ac:dyDescent="0.35">
      <c r="A4" s="3" t="s">
        <v>13</v>
      </c>
      <c r="B4" s="4">
        <v>44429.385416666664</v>
      </c>
      <c r="C4" s="4">
        <v>44429.415532407409</v>
      </c>
      <c r="D4" s="12" t="s">
        <v>8</v>
      </c>
      <c r="E4" s="3" t="s">
        <v>14</v>
      </c>
      <c r="F4" t="b">
        <f t="shared" si="0"/>
        <v>1</v>
      </c>
      <c r="G4" t="b">
        <f t="shared" si="1"/>
        <v>1</v>
      </c>
    </row>
    <row r="5" spans="1:7" x14ac:dyDescent="0.35">
      <c r="A5" s="3" t="s">
        <v>15</v>
      </c>
      <c r="B5" s="4">
        <v>44430.604166666664</v>
      </c>
      <c r="C5" s="4">
        <v>44430.62164351852</v>
      </c>
      <c r="D5" s="12" t="s">
        <v>11</v>
      </c>
      <c r="E5" s="3" t="s">
        <v>16</v>
      </c>
      <c r="F5" t="b">
        <f t="shared" si="0"/>
        <v>1</v>
      </c>
      <c r="G5" t="b">
        <f t="shared" si="1"/>
        <v>1</v>
      </c>
    </row>
    <row r="6" spans="1:7" x14ac:dyDescent="0.35">
      <c r="A6" s="3" t="s">
        <v>17</v>
      </c>
      <c r="B6" s="4">
        <v>44431.416666666664</v>
      </c>
      <c r="C6" s="4">
        <v>44432.416666666664</v>
      </c>
      <c r="D6" s="12" t="s">
        <v>8</v>
      </c>
      <c r="E6" s="3" t="s">
        <v>18</v>
      </c>
      <c r="F6" t="b">
        <f t="shared" si="0"/>
        <v>0</v>
      </c>
      <c r="G6" t="b">
        <f t="shared" si="1"/>
        <v>0</v>
      </c>
    </row>
    <row r="7" spans="1:7" x14ac:dyDescent="0.35">
      <c r="A7" s="3" t="s">
        <v>19</v>
      </c>
      <c r="B7" s="4">
        <v>44431.479166666664</v>
      </c>
      <c r="C7" s="4">
        <v>44431.496527777781</v>
      </c>
      <c r="D7" s="12" t="s">
        <v>11</v>
      </c>
      <c r="E7" s="3" t="s">
        <v>20</v>
      </c>
      <c r="F7" t="b">
        <f t="shared" si="0"/>
        <v>1</v>
      </c>
      <c r="G7" t="b">
        <f t="shared" si="1"/>
        <v>1</v>
      </c>
    </row>
    <row r="8" spans="1:7" x14ac:dyDescent="0.35">
      <c r="A8" s="3" t="s">
        <v>21</v>
      </c>
      <c r="B8" s="4">
        <v>44432.333333333336</v>
      </c>
      <c r="C8" s="4">
        <v>44432.364583333336</v>
      </c>
      <c r="D8" s="12" t="s">
        <v>8</v>
      </c>
      <c r="E8" s="3" t="s">
        <v>22</v>
      </c>
      <c r="F8" t="b">
        <f t="shared" si="0"/>
        <v>1</v>
      </c>
      <c r="G8" t="b">
        <f t="shared" si="1"/>
        <v>1</v>
      </c>
    </row>
    <row r="9" spans="1:7" x14ac:dyDescent="0.35">
      <c r="A9" s="3" t="s">
        <v>23</v>
      </c>
      <c r="B9" s="4">
        <v>44432.625</v>
      </c>
      <c r="C9" s="4">
        <v>44433.625</v>
      </c>
      <c r="D9" s="12" t="s">
        <v>11</v>
      </c>
      <c r="E9" s="3" t="s">
        <v>24</v>
      </c>
      <c r="F9" t="b">
        <f t="shared" si="0"/>
        <v>0</v>
      </c>
      <c r="G9" t="b">
        <f t="shared" si="1"/>
        <v>0</v>
      </c>
    </row>
    <row r="10" spans="1:7" x14ac:dyDescent="0.35">
      <c r="A10" s="3" t="s">
        <v>25</v>
      </c>
      <c r="B10" s="4">
        <v>44433.375</v>
      </c>
      <c r="C10" s="4">
        <v>44433.395833333336</v>
      </c>
      <c r="D10" s="12" t="s">
        <v>8</v>
      </c>
      <c r="E10" s="3" t="s">
        <v>26</v>
      </c>
      <c r="F10" t="b">
        <f t="shared" si="0"/>
        <v>1</v>
      </c>
      <c r="G10" t="b">
        <f t="shared" si="1"/>
        <v>1</v>
      </c>
    </row>
    <row r="11" spans="1:7" x14ac:dyDescent="0.35">
      <c r="A11" s="3" t="s">
        <v>27</v>
      </c>
      <c r="B11" s="4">
        <v>44433.666666666664</v>
      </c>
      <c r="C11" s="4">
        <v>44433.697916666664</v>
      </c>
      <c r="D11" s="12" t="s">
        <v>11</v>
      </c>
      <c r="E11" s="3" t="s">
        <v>28</v>
      </c>
      <c r="F11" t="b">
        <f t="shared" si="0"/>
        <v>1</v>
      </c>
      <c r="G11" t="b">
        <f t="shared" si="1"/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C47FF-425A-49B1-A89C-D0E0B46F77ED}">
  <dimension ref="A1:D11"/>
  <sheetViews>
    <sheetView workbookViewId="0">
      <selection activeCell="D2" sqref="D2:D11"/>
    </sheetView>
  </sheetViews>
  <sheetFormatPr defaultRowHeight="14.5" x14ac:dyDescent="0.35"/>
  <cols>
    <col min="1" max="2" width="17.54296875" customWidth="1"/>
    <col min="3" max="3" width="17.36328125" customWidth="1"/>
    <col min="4" max="4" width="17.54296875" style="8" customWidth="1"/>
  </cols>
  <sheetData>
    <row r="1" spans="1:4" x14ac:dyDescent="0.35">
      <c r="A1" s="1" t="s">
        <v>4</v>
      </c>
      <c r="B1" s="1" t="s">
        <v>29</v>
      </c>
      <c r="C1" s="1" t="s">
        <v>30</v>
      </c>
      <c r="D1" s="7" t="s">
        <v>31</v>
      </c>
    </row>
    <row r="2" spans="1:4" x14ac:dyDescent="0.35">
      <c r="A2" s="6" t="s">
        <v>9</v>
      </c>
      <c r="B2" s="6" t="s">
        <v>32</v>
      </c>
      <c r="C2" s="6">
        <v>3</v>
      </c>
      <c r="D2" s="8">
        <f>IFERROR(INDEX(ticket!$B:$B, MATCH(A2, ticket!$E:$E,0)),"Not Found")</f>
        <v>44427.698414351849</v>
      </c>
    </row>
    <row r="3" spans="1:4" x14ac:dyDescent="0.35">
      <c r="A3" s="6" t="s">
        <v>12</v>
      </c>
      <c r="B3" s="6" t="s">
        <v>33</v>
      </c>
      <c r="C3" s="6">
        <v>5</v>
      </c>
      <c r="D3" s="8">
        <f>IFERROR(INDEX(ticket!$B:$B, MATCH(A3, ticket!$E:$E,0)),"Not Found")</f>
        <v>44429.464837962965</v>
      </c>
    </row>
    <row r="4" spans="1:4" x14ac:dyDescent="0.35">
      <c r="A4" s="6" t="s">
        <v>14</v>
      </c>
      <c r="B4" s="6" t="s">
        <v>34</v>
      </c>
      <c r="C4" s="6">
        <v>4</v>
      </c>
      <c r="D4" s="8">
        <f>IFERROR(INDEX(ticket!$B:$B, MATCH(A4, ticket!$E:$E,0)),"Not Found")</f>
        <v>44429.385416666664</v>
      </c>
    </row>
    <row r="5" spans="1:4" x14ac:dyDescent="0.35">
      <c r="A5" s="6" t="s">
        <v>16</v>
      </c>
      <c r="B5" s="6" t="s">
        <v>35</v>
      </c>
      <c r="C5" s="6">
        <v>2</v>
      </c>
      <c r="D5" s="8">
        <f>IFERROR(INDEX(ticket!$B:$B, MATCH(A5, ticket!$E:$E,0)),"Not Found")</f>
        <v>44430.604166666664</v>
      </c>
    </row>
    <row r="6" spans="1:4" x14ac:dyDescent="0.35">
      <c r="A6" s="6" t="s">
        <v>18</v>
      </c>
      <c r="B6" s="6" t="s">
        <v>36</v>
      </c>
      <c r="C6" s="6">
        <v>5</v>
      </c>
      <c r="D6" s="8">
        <f>IFERROR(INDEX(ticket!$B:$B, MATCH(A6, ticket!$E:$E,0)),"Not Found")</f>
        <v>44431.416666666664</v>
      </c>
    </row>
    <row r="7" spans="1:4" x14ac:dyDescent="0.35">
      <c r="A7" s="6" t="s">
        <v>20</v>
      </c>
      <c r="B7" s="6" t="s">
        <v>37</v>
      </c>
      <c r="C7" s="6">
        <v>3</v>
      </c>
      <c r="D7" s="8">
        <f>IFERROR(INDEX(ticket!$B:$B, MATCH(A7, ticket!$E:$E,0)),"Not Found")</f>
        <v>44431.479166666664</v>
      </c>
    </row>
    <row r="8" spans="1:4" x14ac:dyDescent="0.35">
      <c r="A8" s="6" t="s">
        <v>22</v>
      </c>
      <c r="B8" s="6" t="s">
        <v>38</v>
      </c>
      <c r="C8" s="6">
        <v>4</v>
      </c>
      <c r="D8" s="8">
        <f>IFERROR(INDEX(ticket!$B:$B, MATCH(A8, ticket!$E:$E,0)),"Not Found")</f>
        <v>44432.333333333336</v>
      </c>
    </row>
    <row r="9" spans="1:4" x14ac:dyDescent="0.35">
      <c r="A9" s="6" t="s">
        <v>24</v>
      </c>
      <c r="B9" s="6" t="s">
        <v>39</v>
      </c>
      <c r="C9" s="6">
        <v>1</v>
      </c>
      <c r="D9" s="8">
        <f>IFERROR(INDEX(ticket!$B:$B, MATCH(A9, ticket!$E:$E,0)),"Not Found")</f>
        <v>44432.625</v>
      </c>
    </row>
    <row r="10" spans="1:4" x14ac:dyDescent="0.35">
      <c r="A10" s="6" t="s">
        <v>26</v>
      </c>
      <c r="B10" s="6" t="s">
        <v>40</v>
      </c>
      <c r="C10" s="6">
        <v>5</v>
      </c>
      <c r="D10" s="8">
        <f>IFERROR(INDEX(ticket!$B:$B, MATCH(A10, ticket!$E:$E,0)),"Not Found")</f>
        <v>44433.375</v>
      </c>
    </row>
    <row r="11" spans="1:4" x14ac:dyDescent="0.35">
      <c r="A11" s="6" t="s">
        <v>28</v>
      </c>
      <c r="B11" s="6" t="s">
        <v>41</v>
      </c>
      <c r="C11" s="6">
        <v>4</v>
      </c>
      <c r="D11" s="8">
        <f>IFERROR(INDEX(ticket!$B:$B, MATCH(A11, ticket!$E:$E,0)),"Not Found")</f>
        <v>44433.666666666664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ECEF-CDE1-4E18-82A3-279870E3439E}">
  <dimension ref="A1:C3"/>
  <sheetViews>
    <sheetView workbookViewId="0">
      <selection activeCell="C2" sqref="C2:C3"/>
    </sheetView>
  </sheetViews>
  <sheetFormatPr defaultRowHeight="14.5" x14ac:dyDescent="0.35"/>
  <cols>
    <col min="1" max="1" width="17.6328125" customWidth="1"/>
    <col min="2" max="3" width="17.36328125" customWidth="1"/>
  </cols>
  <sheetData>
    <row r="1" spans="1:3" ht="42" x14ac:dyDescent="0.35">
      <c r="A1" s="9" t="s">
        <v>3</v>
      </c>
      <c r="B1" s="9" t="s">
        <v>42</v>
      </c>
      <c r="C1" s="9" t="s">
        <v>43</v>
      </c>
    </row>
    <row r="2" spans="1:3" x14ac:dyDescent="0.35">
      <c r="A2" s="10" t="s">
        <v>8</v>
      </c>
      <c r="B2" cm="1">
        <f t="array" ref="B2">SUMPRODUCT((ticket!$D$2:$D$11 = A2)*(ticket!$F$2:$F$11 = TRUE))</f>
        <v>3</v>
      </c>
      <c r="C2" cm="1">
        <f t="array" ref="C2">SUMPRODUCT((ticket!$D$2:$D$11 = A2)*(ticket!$G$2:$G$11 = TRUE))</f>
        <v>3</v>
      </c>
    </row>
    <row r="3" spans="1:3" x14ac:dyDescent="0.35">
      <c r="A3" s="5" t="s">
        <v>11</v>
      </c>
      <c r="B3" cm="1">
        <f t="array" ref="B3">SUMPRODUCT((ticket!$D$2:$D$11 = A3)*(ticket!$F$2:$F$11 = TRUE))</f>
        <v>4</v>
      </c>
      <c r="C3" cm="1">
        <f t="array" ref="C3">SUMPRODUCT((ticket!$D$2:$D$11 = A3)*(ticket!$G$2:$G$11 = TRUE))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ticket</vt:lpstr>
      <vt:lpstr>feedbacks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Indhu Sanapathi</dc:creator>
  <cp:lastModifiedBy>Indhu Sanapathi</cp:lastModifiedBy>
  <dcterms:created xsi:type="dcterms:W3CDTF">2026-04-09T03:28:18Z</dcterms:created>
  <dcterms:modified xsi:type="dcterms:W3CDTF">2026-04-09T07:26:29Z</dcterms:modified>
</cp:coreProperties>
</file>